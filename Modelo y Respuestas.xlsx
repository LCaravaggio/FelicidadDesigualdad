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caravaggio_mecon\Desktop\Desigualdad y Felicidad\"/>
    </mc:Choice>
  </mc:AlternateContent>
  <bookViews>
    <workbookView xWindow="0" yWindow="0" windowWidth="24000" windowHeight="9330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P24" i="1" l="1"/>
  <c r="P23" i="1"/>
  <c r="P22" i="1"/>
  <c r="U9" i="1" l="1"/>
  <c r="U8" i="1"/>
  <c r="U7" i="1"/>
  <c r="U6" i="1"/>
  <c r="U5" i="1"/>
  <c r="U4" i="1"/>
  <c r="U3" i="1"/>
  <c r="R30" i="1" l="1"/>
  <c r="P20" i="1"/>
  <c r="P19" i="1"/>
  <c r="P18" i="1"/>
  <c r="Q18" i="1" s="1"/>
  <c r="R18" i="1" s="1"/>
  <c r="Q17" i="1" l="1"/>
  <c r="Q24" i="1"/>
  <c r="R24" i="1" s="1"/>
  <c r="Q23" i="1"/>
  <c r="R23" i="1" s="1"/>
  <c r="Q22" i="1"/>
  <c r="R22" i="1" s="1"/>
  <c r="Q19" i="1"/>
  <c r="R19" i="1" s="1"/>
  <c r="Q20" i="1"/>
  <c r="R20" i="1" s="1"/>
  <c r="U10" i="1"/>
  <c r="P16" i="1"/>
  <c r="Q16" i="1" s="1"/>
  <c r="R16" i="1" s="1"/>
  <c r="P15" i="1"/>
  <c r="Q15" i="1" s="1"/>
  <c r="R15" i="1" s="1"/>
  <c r="P14" i="1"/>
  <c r="Q14" i="1" s="1"/>
  <c r="R14" i="1" s="1"/>
  <c r="P28" i="1" l="1"/>
  <c r="Q28" i="1" s="1"/>
  <c r="R28" i="1" s="1"/>
  <c r="P27" i="1"/>
  <c r="Q27" i="1" s="1"/>
  <c r="R27" i="1" s="1"/>
  <c r="P26" i="1"/>
  <c r="Q26" i="1" s="1"/>
  <c r="R26" i="1" s="1"/>
  <c r="P12" i="1"/>
  <c r="Q12" i="1" s="1"/>
  <c r="R12" i="1" s="1"/>
  <c r="P11" i="1"/>
  <c r="Q11" i="1" s="1"/>
  <c r="R11" i="1" s="1"/>
  <c r="P10" i="1"/>
  <c r="Q10" i="1" s="1"/>
  <c r="R10" i="1" s="1"/>
  <c r="P8" i="1" l="1"/>
  <c r="Q8" i="1" s="1"/>
  <c r="R8" i="1" s="1"/>
  <c r="P7" i="1"/>
  <c r="Q7" i="1" s="1"/>
  <c r="R7" i="1" s="1"/>
  <c r="P6" i="1"/>
  <c r="Q6" i="1" s="1"/>
  <c r="R6" i="1" s="1"/>
  <c r="P4" i="1"/>
  <c r="Q4" i="1" s="1"/>
  <c r="R4" i="1" s="1"/>
  <c r="P3" i="1"/>
  <c r="Q3" i="1" s="1"/>
  <c r="R3" i="1" s="1"/>
</calcChain>
</file>

<file path=xl/sharedStrings.xml><?xml version="1.0" encoding="utf-8"?>
<sst xmlns="http://schemas.openxmlformats.org/spreadsheetml/2006/main" count="81" uniqueCount="48">
  <si>
    <t>Nantes</t>
  </si>
  <si>
    <t>Ejemplo de BAJA desigualdad</t>
  </si>
  <si>
    <t>Calgary</t>
  </si>
  <si>
    <t>Ejemplo de ALTA desigualdad</t>
  </si>
  <si>
    <t>Naples</t>
  </si>
  <si>
    <t>Sacramento</t>
  </si>
  <si>
    <t>Saskatoon</t>
  </si>
  <si>
    <t>Brevard</t>
  </si>
  <si>
    <t>Greene</t>
  </si>
  <si>
    <t>Hartford</t>
  </si>
  <si>
    <t>Kent</t>
  </si>
  <si>
    <t>Rouen</t>
  </si>
  <si>
    <t>Strasbourg</t>
  </si>
  <si>
    <t>Kern</t>
  </si>
  <si>
    <t>Sherbrooke</t>
  </si>
  <si>
    <t>Malmo</t>
  </si>
  <si>
    <t>Montpellier</t>
  </si>
  <si>
    <t>New Haven</t>
  </si>
  <si>
    <t>Oklahoma</t>
  </si>
  <si>
    <t>Padua</t>
  </si>
  <si>
    <t>Polk</t>
  </si>
  <si>
    <t>Pulaski</t>
  </si>
  <si>
    <t>Richland</t>
  </si>
  <si>
    <t>Vienna</t>
  </si>
  <si>
    <t>Oslo</t>
  </si>
  <si>
    <t>Rome</t>
  </si>
  <si>
    <t>Jefferson (KY)</t>
  </si>
  <si>
    <t>Salt Lake</t>
  </si>
  <si>
    <t>Turin</t>
  </si>
  <si>
    <t>Gini</t>
  </si>
  <si>
    <t>5km</t>
  </si>
  <si>
    <t>10km</t>
  </si>
  <si>
    <t>Saint-Etienne</t>
  </si>
  <si>
    <t>Linz</t>
  </si>
  <si>
    <t>Rennes</t>
  </si>
  <si>
    <t>Ejemplo Normal</t>
  </si>
  <si>
    <t>Pearson</t>
  </si>
  <si>
    <t>Modelo 5km</t>
  </si>
  <si>
    <t>Modelo 10km</t>
  </si>
  <si>
    <t>Respuestas 1</t>
  </si>
  <si>
    <t>Respuestas 2</t>
  </si>
  <si>
    <t>Promedio</t>
  </si>
  <si>
    <t>Respuestas 3</t>
  </si>
  <si>
    <t>Respuestas 4</t>
  </si>
  <si>
    <t>N</t>
  </si>
  <si>
    <t>t</t>
  </si>
  <si>
    <t>p-value</t>
  </si>
  <si>
    <t>Respuestas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</si>
</sst>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442F65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3" fontId="0" fillId="0" borderId="0" xfId="1" applyFont="1"/>
    <xf numFmtId="2" fontId="0" fillId="0" borderId="0" xfId="0" applyNumberFormat="1"/>
    <xf numFmtId="1" fontId="0" fillId="0" borderId="0" xfId="0" applyNumberFormat="1"/>
    <xf numFmtId="43" fontId="0" fillId="2" borderId="0" xfId="1" applyFont="1" applyFill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43" fontId="0" fillId="2" borderId="0" xfId="0" applyNumberFormat="1" applyFill="1" applyAlignment="1">
      <alignment horizontal="center"/>
    </xf>
    <xf numFmtId="43" fontId="0" fillId="2" borderId="0" xfId="1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top"/>
    </xf>
    <xf numFmtId="0" fontId="3" fillId="3" borderId="1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 vertical="top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780753934142511E-2"/>
                  <c:y val="-9.53163793714974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'1'!$D$2:$D$31</c:f>
              <c:numCache>
                <c:formatCode>General</c:formatCode>
                <c:ptCount val="30"/>
                <c:pt idx="0">
                  <c:v>0.24</c:v>
                </c:pt>
                <c:pt idx="1">
                  <c:v>0.45</c:v>
                </c:pt>
                <c:pt idx="2">
                  <c:v>0.35</c:v>
                </c:pt>
                <c:pt idx="3">
                  <c:v>0.32</c:v>
                </c:pt>
                <c:pt idx="4">
                  <c:v>0.25</c:v>
                </c:pt>
                <c:pt idx="5">
                  <c:v>0.39</c:v>
                </c:pt>
                <c:pt idx="6">
                  <c:v>0.36</c:v>
                </c:pt>
                <c:pt idx="7">
                  <c:v>0.36</c:v>
                </c:pt>
                <c:pt idx="8">
                  <c:v>0.37</c:v>
                </c:pt>
                <c:pt idx="9">
                  <c:v>0.36</c:v>
                </c:pt>
                <c:pt idx="10">
                  <c:v>0.36</c:v>
                </c:pt>
                <c:pt idx="11">
                  <c:v>0.39</c:v>
                </c:pt>
                <c:pt idx="12">
                  <c:v>0.27</c:v>
                </c:pt>
                <c:pt idx="13">
                  <c:v>0.3</c:v>
                </c:pt>
                <c:pt idx="14">
                  <c:v>0.27</c:v>
                </c:pt>
                <c:pt idx="15">
                  <c:v>0.33</c:v>
                </c:pt>
                <c:pt idx="16">
                  <c:v>0.28000000000000003</c:v>
                </c:pt>
                <c:pt idx="17">
                  <c:v>0.43</c:v>
                </c:pt>
                <c:pt idx="18">
                  <c:v>0.39</c:v>
                </c:pt>
                <c:pt idx="19">
                  <c:v>0.31</c:v>
                </c:pt>
                <c:pt idx="20">
                  <c:v>0.34</c:v>
                </c:pt>
                <c:pt idx="21">
                  <c:v>0.36</c:v>
                </c:pt>
                <c:pt idx="22">
                  <c:v>0.33</c:v>
                </c:pt>
                <c:pt idx="23">
                  <c:v>0.25</c:v>
                </c:pt>
                <c:pt idx="24">
                  <c:v>0.27</c:v>
                </c:pt>
                <c:pt idx="25">
                  <c:v>0.27</c:v>
                </c:pt>
                <c:pt idx="26">
                  <c:v>0.32</c:v>
                </c:pt>
                <c:pt idx="27">
                  <c:v>0.36</c:v>
                </c:pt>
                <c:pt idx="28">
                  <c:v>0.25</c:v>
                </c:pt>
                <c:pt idx="29">
                  <c:v>0.33</c:v>
                </c:pt>
              </c:numCache>
            </c:numRef>
          </c:xVal>
          <c:yVal>
            <c:numRef>
              <c:f>'1'!$L$2:$L$31</c:f>
              <c:numCache>
                <c:formatCode>0</c:formatCode>
                <c:ptCount val="30"/>
                <c:pt idx="0">
                  <c:v>1</c:v>
                </c:pt>
                <c:pt idx="1">
                  <c:v>10</c:v>
                </c:pt>
                <c:pt idx="2">
                  <c:v>5</c:v>
                </c:pt>
                <c:pt idx="3">
                  <c:v>2.8</c:v>
                </c:pt>
                <c:pt idx="4">
                  <c:v>2.8</c:v>
                </c:pt>
                <c:pt idx="5">
                  <c:v>8.1999999999999993</c:v>
                </c:pt>
                <c:pt idx="6">
                  <c:v>7.6</c:v>
                </c:pt>
                <c:pt idx="7">
                  <c:v>5.8</c:v>
                </c:pt>
                <c:pt idx="8">
                  <c:v>5.6</c:v>
                </c:pt>
                <c:pt idx="9">
                  <c:v>5.6</c:v>
                </c:pt>
                <c:pt idx="10">
                  <c:v>6.8</c:v>
                </c:pt>
                <c:pt idx="11">
                  <c:v>5</c:v>
                </c:pt>
                <c:pt idx="12">
                  <c:v>4.4000000000000004</c:v>
                </c:pt>
                <c:pt idx="13">
                  <c:v>4.2</c:v>
                </c:pt>
                <c:pt idx="14">
                  <c:v>4.5999999999999996</c:v>
                </c:pt>
                <c:pt idx="15">
                  <c:v>4.2</c:v>
                </c:pt>
                <c:pt idx="16">
                  <c:v>4.2</c:v>
                </c:pt>
                <c:pt idx="17">
                  <c:v>5</c:v>
                </c:pt>
                <c:pt idx="18">
                  <c:v>7.8</c:v>
                </c:pt>
                <c:pt idx="19">
                  <c:v>6.6</c:v>
                </c:pt>
                <c:pt idx="20">
                  <c:v>6.6</c:v>
                </c:pt>
                <c:pt idx="21">
                  <c:v>7.4</c:v>
                </c:pt>
                <c:pt idx="22">
                  <c:v>5.2</c:v>
                </c:pt>
                <c:pt idx="23">
                  <c:v>4</c:v>
                </c:pt>
                <c:pt idx="24">
                  <c:v>5</c:v>
                </c:pt>
                <c:pt idx="25">
                  <c:v>2.4</c:v>
                </c:pt>
                <c:pt idx="26">
                  <c:v>4.5999999999999996</c:v>
                </c:pt>
                <c:pt idx="27">
                  <c:v>6.2</c:v>
                </c:pt>
                <c:pt idx="28">
                  <c:v>4.5999999999999996</c:v>
                </c:pt>
                <c:pt idx="29">
                  <c:v>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7A-455D-98DB-C877B3D13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6224751"/>
        <c:axId val="2016228911"/>
      </c:scatterChart>
      <c:valAx>
        <c:axId val="201622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16228911"/>
        <c:crosses val="autoZero"/>
        <c:crossBetween val="midCat"/>
      </c:valAx>
      <c:valAx>
        <c:axId val="2016228911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16224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676275</xdr:colOff>
      <xdr:row>36</xdr:row>
      <xdr:rowOff>95250</xdr:rowOff>
    </xdr:from>
    <xdr:to>
      <xdr:col>17</xdr:col>
      <xdr:colOff>600075</xdr:colOff>
      <xdr:row>51</xdr:row>
      <xdr:rowOff>38100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Subse Macro 2024">
      <a:dk1>
        <a:srgbClr val="000000"/>
      </a:dk1>
      <a:lt1>
        <a:sysClr val="window" lastClr="FFFFFF"/>
      </a:lt1>
      <a:dk2>
        <a:srgbClr val="BFBFBF"/>
      </a:dk2>
      <a:lt2>
        <a:srgbClr val="7F7F7F"/>
      </a:lt2>
      <a:accent1>
        <a:srgbClr val="242C4F"/>
      </a:accent1>
      <a:accent2>
        <a:srgbClr val="5B9BD5"/>
      </a:accent2>
      <a:accent3>
        <a:srgbClr val="9BBB59"/>
      </a:accent3>
      <a:accent4>
        <a:srgbClr val="ED7D31"/>
      </a:accent4>
      <a:accent5>
        <a:srgbClr val="9179AF"/>
      </a:accent5>
      <a:accent6>
        <a:srgbClr val="FFC000"/>
      </a:accent6>
      <a:hlink>
        <a:srgbClr val="282A4D"/>
      </a:hlink>
      <a:folHlink>
        <a:srgbClr val="BFBFB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3"/>
  <sheetViews>
    <sheetView tabSelected="1" topLeftCell="D1" workbookViewId="0">
      <selection activeCell="L8" sqref="L8"/>
    </sheetView>
  </sheetViews>
  <sheetFormatPr baseColWidth="10" defaultRowHeight="15" x14ac:dyDescent="0.25"/>
  <cols>
    <col min="2" max="2" width="17.7109375" customWidth="1"/>
    <col min="3" max="3" width="35.85546875" customWidth="1"/>
    <col min="5" max="5" width="15.42578125" customWidth="1"/>
    <col min="12" max="13" width="13.42578125" customWidth="1"/>
    <col min="14" max="15" width="14.42578125" customWidth="1"/>
    <col min="17" max="17" width="11.85546875" bestFit="1" customWidth="1"/>
    <col min="20" max="20" width="14.7109375" customWidth="1"/>
  </cols>
  <sheetData>
    <row r="1" spans="1:21" x14ac:dyDescent="0.25">
      <c r="D1" t="s">
        <v>29</v>
      </c>
      <c r="E1" t="s">
        <v>30</v>
      </c>
      <c r="F1" t="s">
        <v>31</v>
      </c>
      <c r="G1" t="s">
        <v>39</v>
      </c>
      <c r="H1" t="s">
        <v>40</v>
      </c>
      <c r="I1" t="s">
        <v>42</v>
      </c>
      <c r="J1" t="s">
        <v>43</v>
      </c>
      <c r="K1" t="s">
        <v>47</v>
      </c>
      <c r="L1" t="s">
        <v>41</v>
      </c>
    </row>
    <row r="2" spans="1:21" x14ac:dyDescent="0.25">
      <c r="A2">
        <v>1</v>
      </c>
      <c r="B2" t="s">
        <v>0</v>
      </c>
      <c r="C2" t="s">
        <v>1</v>
      </c>
      <c r="D2">
        <v>0.24</v>
      </c>
      <c r="E2" s="2">
        <v>0.23405648767948101</v>
      </c>
      <c r="F2" s="2">
        <v>0.21628202497959101</v>
      </c>
      <c r="G2">
        <v>1</v>
      </c>
      <c r="H2">
        <v>1</v>
      </c>
      <c r="I2">
        <v>1</v>
      </c>
      <c r="J2">
        <v>1</v>
      </c>
      <c r="K2">
        <v>1</v>
      </c>
      <c r="L2" s="3">
        <f>+AVERAGE(G2:K2)</f>
        <v>1</v>
      </c>
      <c r="N2" s="5"/>
      <c r="O2" s="5"/>
      <c r="P2" s="6" t="s">
        <v>36</v>
      </c>
      <c r="Q2" s="6" t="s">
        <v>45</v>
      </c>
      <c r="R2" s="6" t="s">
        <v>46</v>
      </c>
    </row>
    <row r="3" spans="1:21" x14ac:dyDescent="0.25">
      <c r="A3">
        <v>2</v>
      </c>
      <c r="B3" t="s">
        <v>2</v>
      </c>
      <c r="C3" t="s">
        <v>3</v>
      </c>
      <c r="D3">
        <v>0.45</v>
      </c>
      <c r="E3" s="2">
        <v>0.238028213381767</v>
      </c>
      <c r="F3" s="2">
        <v>0.23160432279109899</v>
      </c>
      <c r="G3">
        <v>10</v>
      </c>
      <c r="H3">
        <v>10</v>
      </c>
      <c r="I3">
        <v>10</v>
      </c>
      <c r="J3">
        <v>10</v>
      </c>
      <c r="K3">
        <v>10</v>
      </c>
      <c r="L3" s="3">
        <f t="shared" ref="L3:L31" si="0">+AVERAGE(G3:K3)</f>
        <v>10</v>
      </c>
      <c r="N3" s="14" t="s">
        <v>29</v>
      </c>
      <c r="O3" s="5" t="s">
        <v>37</v>
      </c>
      <c r="P3" s="4">
        <f>+PEARSON(D2:D31,E2:E31)</f>
        <v>0.32365954841316363</v>
      </c>
      <c r="Q3" s="7">
        <f>+(P3*(SQRT(R30-2)))/SQRT(1-P3^2)</f>
        <v>1.8100751642089929</v>
      </c>
      <c r="R3" s="8">
        <f>+_xlfn.T.DIST.2T(Q3,$R$30-2)</f>
        <v>8.1030078103536574E-2</v>
      </c>
      <c r="T3" t="s">
        <v>29</v>
      </c>
      <c r="U3">
        <f>+STDEV(D2:D31)</f>
        <v>5.5194535794852423E-2</v>
      </c>
    </row>
    <row r="4" spans="1:21" x14ac:dyDescent="0.25">
      <c r="A4">
        <v>3</v>
      </c>
      <c r="B4" t="s">
        <v>26</v>
      </c>
      <c r="C4" t="s">
        <v>35</v>
      </c>
      <c r="D4">
        <v>0.35</v>
      </c>
      <c r="E4" s="2">
        <v>0.21548642218112901</v>
      </c>
      <c r="F4" s="2">
        <v>0.20236468315124501</v>
      </c>
      <c r="G4">
        <v>5</v>
      </c>
      <c r="H4">
        <v>5</v>
      </c>
      <c r="I4">
        <v>5</v>
      </c>
      <c r="J4">
        <v>5</v>
      </c>
      <c r="K4">
        <v>5</v>
      </c>
      <c r="L4" s="3">
        <f t="shared" si="0"/>
        <v>5</v>
      </c>
      <c r="N4" s="14"/>
      <c r="O4" s="5" t="s">
        <v>38</v>
      </c>
      <c r="P4" s="4">
        <f>+PEARSON(D2:D31,F2:F31)</f>
        <v>0.34152640205215296</v>
      </c>
      <c r="Q4" s="7">
        <f>+(P4*(SQRT($R$30-2)))/SQRT(1-P4^2)</f>
        <v>1.9228017260570274</v>
      </c>
      <c r="R4" s="8">
        <f>+_xlfn.T.DIST.2T(Q4,$R$30-2)</f>
        <v>6.4730621546635059E-2</v>
      </c>
      <c r="T4" t="s">
        <v>30</v>
      </c>
      <c r="U4">
        <f>+STDEV(E2:E31)</f>
        <v>2.2114894281345384E-2</v>
      </c>
    </row>
    <row r="5" spans="1:21" x14ac:dyDescent="0.25">
      <c r="A5">
        <v>4</v>
      </c>
      <c r="B5" t="s">
        <v>4</v>
      </c>
      <c r="D5">
        <v>0.32</v>
      </c>
      <c r="E5" s="2">
        <v>0.192385703325271</v>
      </c>
      <c r="F5" s="2">
        <v>0.19209517538547499</v>
      </c>
      <c r="G5">
        <v>3</v>
      </c>
      <c r="H5">
        <v>3</v>
      </c>
      <c r="I5">
        <v>3</v>
      </c>
      <c r="J5">
        <v>3</v>
      </c>
      <c r="K5">
        <v>2</v>
      </c>
      <c r="L5" s="3">
        <f t="shared" si="0"/>
        <v>2.8</v>
      </c>
      <c r="N5" s="10"/>
      <c r="O5" s="5"/>
      <c r="P5" s="4"/>
      <c r="Q5" s="9"/>
      <c r="R5" s="8"/>
      <c r="T5" t="s">
        <v>31</v>
      </c>
      <c r="U5">
        <f>+STDEV(F2:F31)</f>
        <v>2.0112731042012576E-2</v>
      </c>
    </row>
    <row r="6" spans="1:21" x14ac:dyDescent="0.25">
      <c r="A6">
        <v>5</v>
      </c>
      <c r="B6" t="s">
        <v>33</v>
      </c>
      <c r="D6">
        <v>0.25</v>
      </c>
      <c r="E6" s="2">
        <v>0.213323384523391</v>
      </c>
      <c r="F6" s="2">
        <v>0.210816010832786</v>
      </c>
      <c r="G6">
        <v>2</v>
      </c>
      <c r="H6">
        <v>3</v>
      </c>
      <c r="I6">
        <v>5</v>
      </c>
      <c r="J6">
        <v>2</v>
      </c>
      <c r="K6">
        <v>2</v>
      </c>
      <c r="L6" s="3">
        <f t="shared" si="0"/>
        <v>2.8</v>
      </c>
      <c r="N6" s="14" t="s">
        <v>39</v>
      </c>
      <c r="O6" s="5" t="s">
        <v>29</v>
      </c>
      <c r="P6" s="4">
        <f>+PEARSON(D2:D31,G2:G31)</f>
        <v>0.76117746231506023</v>
      </c>
      <c r="Q6" s="7">
        <f>+(P6*(SQRT($R$30-2)))/SQRT(1-P6^2)</f>
        <v>6.2104879359234983</v>
      </c>
      <c r="R6" s="8">
        <f>+_xlfn.T.DIST.2T(Q6,$R$30-2)</f>
        <v>1.0406903752067645E-6</v>
      </c>
      <c r="T6" t="s">
        <v>39</v>
      </c>
      <c r="U6">
        <f>+STDEV(G2:G31)</f>
        <v>2.6226248148639622</v>
      </c>
    </row>
    <row r="7" spans="1:21" x14ac:dyDescent="0.25">
      <c r="A7">
        <v>6</v>
      </c>
      <c r="B7" t="s">
        <v>5</v>
      </c>
      <c r="D7">
        <v>0.39</v>
      </c>
      <c r="E7" s="2">
        <v>0.24904841184616</v>
      </c>
      <c r="F7" s="2">
        <v>0.22841733694076499</v>
      </c>
      <c r="G7">
        <v>9</v>
      </c>
      <c r="H7">
        <v>7</v>
      </c>
      <c r="I7">
        <v>8</v>
      </c>
      <c r="J7">
        <v>9</v>
      </c>
      <c r="K7">
        <v>8</v>
      </c>
      <c r="L7" s="3">
        <f t="shared" si="0"/>
        <v>8.1999999999999993</v>
      </c>
      <c r="N7" s="14"/>
      <c r="O7" s="5" t="s">
        <v>37</v>
      </c>
      <c r="P7" s="4">
        <f>+PEARSON(E2:E31,G2:G31)</f>
        <v>0.36724505450804973</v>
      </c>
      <c r="Q7" s="7">
        <f>+(P7*(SQRT($R$30-2)))/SQRT(1-P7^2)</f>
        <v>2.0892673485386442</v>
      </c>
      <c r="R7" s="8">
        <f>+_xlfn.T.DIST.2T(Q7,$R$30-2)</f>
        <v>4.5891469895633523E-2</v>
      </c>
      <c r="T7" t="s">
        <v>40</v>
      </c>
      <c r="U7">
        <f>+STDEV(H2:H31)</f>
        <v>2.0965214758858486</v>
      </c>
    </row>
    <row r="8" spans="1:21" x14ac:dyDescent="0.25">
      <c r="A8">
        <v>7</v>
      </c>
      <c r="B8" t="s">
        <v>6</v>
      </c>
      <c r="D8">
        <v>0.36</v>
      </c>
      <c r="E8" s="2">
        <v>0.248747527599334</v>
      </c>
      <c r="F8" s="2">
        <v>0.25085264444351102</v>
      </c>
      <c r="G8">
        <v>8</v>
      </c>
      <c r="H8">
        <v>8</v>
      </c>
      <c r="I8">
        <v>9</v>
      </c>
      <c r="J8">
        <v>9</v>
      </c>
      <c r="K8">
        <v>4</v>
      </c>
      <c r="L8" s="3">
        <f t="shared" si="0"/>
        <v>7.6</v>
      </c>
      <c r="N8" s="14"/>
      <c r="O8" s="5" t="s">
        <v>38</v>
      </c>
      <c r="P8" s="4">
        <f>+PEARSON(F2:F31,G2:G31)</f>
        <v>0.46180468984269973</v>
      </c>
      <c r="Q8" s="7">
        <f>+(P8*(SQRT($R$30-2)))/SQRT(1-P8^2)</f>
        <v>2.755007115105105</v>
      </c>
      <c r="R8" s="8">
        <f>+_xlfn.T.DIST.2T(Q8,$R$30-2)</f>
        <v>1.0199665124903138E-2</v>
      </c>
      <c r="T8" t="s">
        <v>42</v>
      </c>
      <c r="U8">
        <f>+STDEV(I2:I31)</f>
        <v>2.5316388767553026</v>
      </c>
    </row>
    <row r="9" spans="1:21" x14ac:dyDescent="0.25">
      <c r="A9">
        <v>8</v>
      </c>
      <c r="B9" t="s">
        <v>7</v>
      </c>
      <c r="D9">
        <v>0.36</v>
      </c>
      <c r="E9" s="2">
        <v>0.25687858343124298</v>
      </c>
      <c r="F9" s="2">
        <v>0.22242572903633101</v>
      </c>
      <c r="G9">
        <v>4</v>
      </c>
      <c r="H9">
        <v>9</v>
      </c>
      <c r="I9">
        <v>6</v>
      </c>
      <c r="J9">
        <v>6</v>
      </c>
      <c r="K9">
        <v>4</v>
      </c>
      <c r="L9" s="3">
        <f t="shared" si="0"/>
        <v>5.8</v>
      </c>
      <c r="N9" s="10"/>
      <c r="O9" s="5"/>
      <c r="P9" s="9"/>
      <c r="Q9" s="7"/>
      <c r="R9" s="8"/>
      <c r="T9" t="s">
        <v>43</v>
      </c>
      <c r="U9">
        <f>+STDEV(J2:J31)</f>
        <v>2.6357402066177937</v>
      </c>
    </row>
    <row r="10" spans="1:21" x14ac:dyDescent="0.25">
      <c r="A10">
        <v>9</v>
      </c>
      <c r="B10" t="s">
        <v>8</v>
      </c>
      <c r="D10">
        <v>0.37</v>
      </c>
      <c r="E10" s="2">
        <v>0.26281386613845797</v>
      </c>
      <c r="F10" s="2">
        <v>0.25756210088729797</v>
      </c>
      <c r="G10">
        <v>6</v>
      </c>
      <c r="H10">
        <v>7</v>
      </c>
      <c r="I10">
        <v>5</v>
      </c>
      <c r="J10">
        <v>8</v>
      </c>
      <c r="K10">
        <v>2</v>
      </c>
      <c r="L10" s="3">
        <f t="shared" si="0"/>
        <v>5.6</v>
      </c>
      <c r="N10" s="14" t="s">
        <v>40</v>
      </c>
      <c r="O10" s="5" t="s">
        <v>29</v>
      </c>
      <c r="P10" s="4">
        <f>+PEARSON(D2:D31,H2:H31)</f>
        <v>0.50619140431487719</v>
      </c>
      <c r="Q10" s="7">
        <f>+(P10*(SQRT($R$30-2)))/SQRT(1-P10^2)</f>
        <v>3.1058063722145914</v>
      </c>
      <c r="R10" s="8">
        <f>+_xlfn.T.DIST.2T(Q10,$R$30-2)</f>
        <v>4.3165212513813171E-3</v>
      </c>
      <c r="T10" t="s">
        <v>41</v>
      </c>
      <c r="U10">
        <f>+STDEV(L2:L31)</f>
        <v>1.8707795412485246</v>
      </c>
    </row>
    <row r="11" spans="1:21" x14ac:dyDescent="0.25">
      <c r="A11">
        <v>10</v>
      </c>
      <c r="B11" t="s">
        <v>9</v>
      </c>
      <c r="D11">
        <v>0.36</v>
      </c>
      <c r="E11" s="2">
        <v>0.21418851613998399</v>
      </c>
      <c r="F11" s="2">
        <v>0.21491749584674799</v>
      </c>
      <c r="G11">
        <v>3</v>
      </c>
      <c r="H11">
        <v>6</v>
      </c>
      <c r="I11">
        <v>7</v>
      </c>
      <c r="J11">
        <v>8</v>
      </c>
      <c r="K11">
        <v>4</v>
      </c>
      <c r="L11" s="3">
        <f t="shared" si="0"/>
        <v>5.6</v>
      </c>
      <c r="N11" s="14"/>
      <c r="O11" s="5" t="s">
        <v>37</v>
      </c>
      <c r="P11" s="4">
        <f>+PEARSON(E2:E31,H2:H31)</f>
        <v>0.47021453392810264</v>
      </c>
      <c r="Q11" s="7">
        <f>+(P11*(SQRT($R$30-2)))/SQRT(1-P11^2)</f>
        <v>2.8192571372102768</v>
      </c>
      <c r="R11" s="8">
        <f>+_xlfn.T.DIST.2T(Q11,$R$30-2)</f>
        <v>8.7395604615686934E-3</v>
      </c>
    </row>
    <row r="12" spans="1:21" x14ac:dyDescent="0.25">
      <c r="A12">
        <v>11</v>
      </c>
      <c r="B12" t="s">
        <v>10</v>
      </c>
      <c r="D12">
        <v>0.36</v>
      </c>
      <c r="E12" s="2">
        <v>0.23599162697792</v>
      </c>
      <c r="F12" s="2">
        <v>0.23751579225063299</v>
      </c>
      <c r="G12">
        <v>7</v>
      </c>
      <c r="H12">
        <v>7</v>
      </c>
      <c r="I12">
        <v>9</v>
      </c>
      <c r="J12">
        <v>7</v>
      </c>
      <c r="K12">
        <v>4</v>
      </c>
      <c r="L12" s="3">
        <f t="shared" si="0"/>
        <v>6.8</v>
      </c>
      <c r="N12" s="14"/>
      <c r="O12" s="5" t="s">
        <v>38</v>
      </c>
      <c r="P12" s="4">
        <f>+PEARSON(F2:F31,H2:H31)</f>
        <v>0.44259248118233785</v>
      </c>
      <c r="Q12" s="7">
        <f>+(P12*(SQRT($R$30-2)))/SQRT(1-P12^2)</f>
        <v>2.611709110580231</v>
      </c>
      <c r="R12" s="8">
        <f>+_xlfn.T.DIST.2T(Q12,$R$30-2)</f>
        <v>1.4318605590798042E-2</v>
      </c>
    </row>
    <row r="13" spans="1:21" x14ac:dyDescent="0.25">
      <c r="A13">
        <v>12</v>
      </c>
      <c r="B13" t="s">
        <v>13</v>
      </c>
      <c r="D13">
        <v>0.39</v>
      </c>
      <c r="E13" s="2">
        <v>0.24090254306793199</v>
      </c>
      <c r="F13" s="2">
        <v>0.23418661952018699</v>
      </c>
      <c r="G13">
        <v>8</v>
      </c>
      <c r="H13">
        <v>5</v>
      </c>
      <c r="I13">
        <v>7</v>
      </c>
      <c r="J13">
        <v>2</v>
      </c>
      <c r="K13">
        <v>3</v>
      </c>
      <c r="L13" s="3">
        <f t="shared" si="0"/>
        <v>5</v>
      </c>
      <c r="N13" s="10"/>
      <c r="O13" s="5"/>
      <c r="P13" s="9"/>
      <c r="Q13" s="7"/>
      <c r="R13" s="8"/>
    </row>
    <row r="14" spans="1:21" x14ac:dyDescent="0.25">
      <c r="A14">
        <v>13</v>
      </c>
      <c r="B14" t="s">
        <v>11</v>
      </c>
      <c r="D14">
        <v>0.27</v>
      </c>
      <c r="E14" s="2">
        <v>0.208905905485153</v>
      </c>
      <c r="F14" s="2">
        <v>0.210954099893569</v>
      </c>
      <c r="G14">
        <v>6</v>
      </c>
      <c r="H14">
        <v>6</v>
      </c>
      <c r="I14">
        <v>2</v>
      </c>
      <c r="J14">
        <v>5</v>
      </c>
      <c r="K14">
        <v>3</v>
      </c>
      <c r="L14" s="3">
        <f t="shared" si="0"/>
        <v>4.4000000000000004</v>
      </c>
      <c r="N14" s="14" t="s">
        <v>42</v>
      </c>
      <c r="O14" s="5" t="s">
        <v>29</v>
      </c>
      <c r="P14" s="4">
        <f>+PEARSON(D2:D31,I2:I31)</f>
        <v>0.71334919455033208</v>
      </c>
      <c r="Q14" s="7">
        <f t="shared" ref="Q14:Q20" si="1">+(P14*(SQRT($R$30-2)))/SQRT(1-P14^2)</f>
        <v>5.3861899509255853</v>
      </c>
      <c r="R14" s="8">
        <f>+_xlfn.T.DIST.2T(Q14,$R$30-2)</f>
        <v>9.6586164306566206E-6</v>
      </c>
    </row>
    <row r="15" spans="1:21" x14ac:dyDescent="0.25">
      <c r="A15">
        <v>14</v>
      </c>
      <c r="B15" t="s">
        <v>14</v>
      </c>
      <c r="D15">
        <v>0.3</v>
      </c>
      <c r="E15" s="2">
        <v>0.22003647685050901</v>
      </c>
      <c r="F15" s="2">
        <v>0.213629201054573</v>
      </c>
      <c r="G15">
        <v>4</v>
      </c>
      <c r="H15">
        <v>7</v>
      </c>
      <c r="I15">
        <v>3</v>
      </c>
      <c r="J15">
        <v>4</v>
      </c>
      <c r="K15">
        <v>3</v>
      </c>
      <c r="L15" s="3">
        <f t="shared" si="0"/>
        <v>4.2</v>
      </c>
      <c r="N15" s="14"/>
      <c r="O15" s="5" t="s">
        <v>37</v>
      </c>
      <c r="P15" s="4">
        <f>+PEARSON(E2:E31,I2:I31)</f>
        <v>0.30478743686755561</v>
      </c>
      <c r="Q15" s="7">
        <f t="shared" si="1"/>
        <v>1.6933525587904441</v>
      </c>
      <c r="R15" s="8">
        <f>+_xlfn.T.DIST.2T(Q15,$R$30-2)</f>
        <v>0.10148695028627019</v>
      </c>
    </row>
    <row r="16" spans="1:21" x14ac:dyDescent="0.25">
      <c r="A16">
        <v>15</v>
      </c>
      <c r="B16" t="s">
        <v>12</v>
      </c>
      <c r="D16">
        <v>0.27</v>
      </c>
      <c r="E16" s="2">
        <v>0.22274398803710899</v>
      </c>
      <c r="F16" s="2">
        <v>0.20896378159522999</v>
      </c>
      <c r="G16">
        <v>4</v>
      </c>
      <c r="H16">
        <v>6</v>
      </c>
      <c r="I16">
        <v>4</v>
      </c>
      <c r="J16">
        <v>6</v>
      </c>
      <c r="K16">
        <v>3</v>
      </c>
      <c r="L16" s="3">
        <f t="shared" si="0"/>
        <v>4.5999999999999996</v>
      </c>
      <c r="N16" s="14"/>
      <c r="O16" s="5" t="s">
        <v>38</v>
      </c>
      <c r="P16" s="4">
        <f>+PEARSON(F2:F31,I2:I31)</f>
        <v>0.35658971766164915</v>
      </c>
      <c r="Q16" s="7">
        <f t="shared" si="1"/>
        <v>2.0196660849411332</v>
      </c>
      <c r="R16" s="8">
        <f>+_xlfn.T.DIST.2T(Q16,$R$30-2)</f>
        <v>5.3081489590364711E-2</v>
      </c>
    </row>
    <row r="17" spans="1:18" x14ac:dyDescent="0.25">
      <c r="A17">
        <v>16</v>
      </c>
      <c r="B17" t="s">
        <v>15</v>
      </c>
      <c r="D17">
        <v>0.33</v>
      </c>
      <c r="E17" s="2">
        <v>0.23200421035289701</v>
      </c>
      <c r="F17" s="2">
        <v>0.19420750439167001</v>
      </c>
      <c r="G17">
        <v>3</v>
      </c>
      <c r="H17">
        <v>6</v>
      </c>
      <c r="I17">
        <v>6</v>
      </c>
      <c r="J17">
        <v>3</v>
      </c>
      <c r="K17">
        <v>3</v>
      </c>
      <c r="L17" s="3">
        <f t="shared" si="0"/>
        <v>4.2</v>
      </c>
      <c r="N17" s="10"/>
      <c r="O17" s="5"/>
      <c r="P17" s="9"/>
      <c r="Q17" s="7">
        <f t="shared" si="1"/>
        <v>0</v>
      </c>
      <c r="R17" s="8"/>
    </row>
    <row r="18" spans="1:18" x14ac:dyDescent="0.25">
      <c r="A18">
        <v>17</v>
      </c>
      <c r="B18" t="s">
        <v>16</v>
      </c>
      <c r="D18">
        <v>0.28000000000000003</v>
      </c>
      <c r="E18" s="2">
        <v>0.23708157241344399</v>
      </c>
      <c r="F18" s="2">
        <v>0.241390705108642</v>
      </c>
      <c r="G18">
        <v>2</v>
      </c>
      <c r="H18">
        <v>6</v>
      </c>
      <c r="I18">
        <v>2</v>
      </c>
      <c r="J18">
        <v>8</v>
      </c>
      <c r="K18">
        <v>3</v>
      </c>
      <c r="L18" s="3">
        <f t="shared" si="0"/>
        <v>4.2</v>
      </c>
      <c r="N18" s="14" t="s">
        <v>43</v>
      </c>
      <c r="O18" s="5" t="s">
        <v>29</v>
      </c>
      <c r="P18" s="4">
        <f>+PEARSON(D2:D31,J2:J31)</f>
        <v>0.32204475920888137</v>
      </c>
      <c r="Q18" s="7">
        <f t="shared" si="1"/>
        <v>1.7999965020524948</v>
      </c>
      <c r="R18" s="8">
        <f>+_xlfn.T.DIST.2T(Q18,$R$30-2)</f>
        <v>8.2645526523756327E-2</v>
      </c>
    </row>
    <row r="19" spans="1:18" x14ac:dyDescent="0.25">
      <c r="A19">
        <v>18</v>
      </c>
      <c r="B19" t="s">
        <v>17</v>
      </c>
      <c r="D19">
        <v>0.43</v>
      </c>
      <c r="E19" s="2">
        <v>0.21110205352306299</v>
      </c>
      <c r="F19" s="2">
        <v>0.202439680695533</v>
      </c>
      <c r="G19">
        <v>6</v>
      </c>
      <c r="H19">
        <v>7</v>
      </c>
      <c r="I19">
        <v>5</v>
      </c>
      <c r="J19">
        <v>4</v>
      </c>
      <c r="K19">
        <v>3</v>
      </c>
      <c r="L19" s="3">
        <f t="shared" si="0"/>
        <v>5</v>
      </c>
      <c r="N19" s="14"/>
      <c r="O19" s="5" t="s">
        <v>37</v>
      </c>
      <c r="P19" s="4">
        <f>+PEARSON(E2:E31,J2:J31)</f>
        <v>0.33099483149525805</v>
      </c>
      <c r="Q19" s="7">
        <f t="shared" si="1"/>
        <v>1.8560826321589698</v>
      </c>
      <c r="R19" s="8">
        <f>+_xlfn.T.DIST.2T(Q19,$R$30-2)</f>
        <v>7.3994874282021963E-2</v>
      </c>
    </row>
    <row r="20" spans="1:18" x14ac:dyDescent="0.25">
      <c r="A20">
        <v>19</v>
      </c>
      <c r="B20" t="s">
        <v>18</v>
      </c>
      <c r="D20">
        <v>0.39</v>
      </c>
      <c r="E20" s="2">
        <v>0.26241025328636097</v>
      </c>
      <c r="F20" s="2">
        <v>0.256494730710983</v>
      </c>
      <c r="G20">
        <v>8</v>
      </c>
      <c r="H20">
        <v>8</v>
      </c>
      <c r="I20">
        <v>8</v>
      </c>
      <c r="J20">
        <v>7</v>
      </c>
      <c r="K20">
        <v>8</v>
      </c>
      <c r="L20" s="3">
        <f t="shared" si="0"/>
        <v>7.8</v>
      </c>
      <c r="N20" s="14"/>
      <c r="O20" s="5" t="s">
        <v>38</v>
      </c>
      <c r="P20" s="4">
        <f>+PEARSON(F2:F31,J2:J31)</f>
        <v>0.47615490101170416</v>
      </c>
      <c r="Q20" s="7">
        <f t="shared" si="1"/>
        <v>2.8652324796499644</v>
      </c>
      <c r="R20" s="8">
        <f>+_xlfn.T.DIST.2T(Q20,$R$30-2)</f>
        <v>7.8180830933013493E-3</v>
      </c>
    </row>
    <row r="21" spans="1:18" x14ac:dyDescent="0.25">
      <c r="A21">
        <v>20</v>
      </c>
      <c r="B21" t="s">
        <v>19</v>
      </c>
      <c r="D21">
        <v>0.31</v>
      </c>
      <c r="E21" s="2">
        <v>0.231430068612098</v>
      </c>
      <c r="F21" s="2">
        <v>0.22706164419651001</v>
      </c>
      <c r="G21">
        <v>4</v>
      </c>
      <c r="H21">
        <v>8</v>
      </c>
      <c r="I21">
        <v>7</v>
      </c>
      <c r="J21">
        <v>9</v>
      </c>
      <c r="K21">
        <v>5</v>
      </c>
      <c r="L21" s="3">
        <f t="shared" si="0"/>
        <v>6.6</v>
      </c>
      <c r="N21" s="10"/>
      <c r="O21" s="5"/>
      <c r="P21" s="9"/>
      <c r="Q21" s="7"/>
      <c r="R21" s="8"/>
    </row>
    <row r="22" spans="1:18" x14ac:dyDescent="0.25">
      <c r="A22">
        <v>21</v>
      </c>
      <c r="B22" t="s">
        <v>20</v>
      </c>
      <c r="D22">
        <v>0.34</v>
      </c>
      <c r="E22" s="2">
        <v>0.244428381323814</v>
      </c>
      <c r="F22" s="2">
        <v>0.23340907692909199</v>
      </c>
      <c r="G22">
        <v>9</v>
      </c>
      <c r="H22">
        <v>7</v>
      </c>
      <c r="I22">
        <v>9</v>
      </c>
      <c r="J22">
        <v>3</v>
      </c>
      <c r="K22">
        <v>5</v>
      </c>
      <c r="L22" s="3">
        <f t="shared" si="0"/>
        <v>6.6</v>
      </c>
      <c r="N22" s="14" t="s">
        <v>47</v>
      </c>
      <c r="O22" s="5" t="s">
        <v>29</v>
      </c>
      <c r="P22" s="4">
        <f>+PEARSON(D2:D31,K2:K31)</f>
        <v>0.53386387389011125</v>
      </c>
      <c r="Q22" s="7">
        <f>+(P22*(SQRT($R$30-2)))/SQRT(1-P22^2)</f>
        <v>3.3408713981586047</v>
      </c>
      <c r="R22" s="8">
        <f>+_xlfn.T.DIST.2T(Q22,$R$30-2)</f>
        <v>2.3780713473384369E-3</v>
      </c>
    </row>
    <row r="23" spans="1:18" x14ac:dyDescent="0.25">
      <c r="A23">
        <v>22</v>
      </c>
      <c r="B23" t="s">
        <v>21</v>
      </c>
      <c r="D23">
        <v>0.36</v>
      </c>
      <c r="E23" s="2">
        <v>0.22115297615528101</v>
      </c>
      <c r="F23" s="2">
        <v>0.21909032762050601</v>
      </c>
      <c r="G23">
        <v>8</v>
      </c>
      <c r="H23">
        <v>8</v>
      </c>
      <c r="I23">
        <v>7</v>
      </c>
      <c r="J23">
        <v>7</v>
      </c>
      <c r="K23">
        <v>7</v>
      </c>
      <c r="L23" s="3">
        <f t="shared" si="0"/>
        <v>7.4</v>
      </c>
      <c r="N23" s="14"/>
      <c r="O23" s="5" t="s">
        <v>37</v>
      </c>
      <c r="P23" s="4">
        <f>+PEARSON(E2:E31,K2:K31)</f>
        <v>0.43662956862296542</v>
      </c>
      <c r="Q23" s="7">
        <f>+(P23*(SQRT($R$30-2)))/SQRT(1-P23^2)</f>
        <v>2.5681638799193212</v>
      </c>
      <c r="R23" s="8">
        <f>+_xlfn.T.DIST.2T(Q23,$R$30-2)</f>
        <v>1.5848815061936063E-2</v>
      </c>
    </row>
    <row r="24" spans="1:18" x14ac:dyDescent="0.25">
      <c r="A24">
        <v>23</v>
      </c>
      <c r="B24" t="s">
        <v>22</v>
      </c>
      <c r="D24">
        <v>0.33</v>
      </c>
      <c r="E24" s="2">
        <v>0.19607740640640201</v>
      </c>
      <c r="F24" s="2">
        <v>0.18648886680603</v>
      </c>
      <c r="G24">
        <v>7</v>
      </c>
      <c r="H24">
        <v>7</v>
      </c>
      <c r="I24">
        <v>7</v>
      </c>
      <c r="J24">
        <v>3</v>
      </c>
      <c r="K24">
        <v>2</v>
      </c>
      <c r="L24" s="3">
        <f t="shared" si="0"/>
        <v>5.2</v>
      </c>
      <c r="N24" s="14"/>
      <c r="O24" s="5" t="s">
        <v>38</v>
      </c>
      <c r="P24" s="4">
        <f>+PEARSON(F2:F31,K2:K31)</f>
        <v>0.40734769485913608</v>
      </c>
      <c r="Q24" s="7">
        <f>+(P24*(SQRT($R$30-2)))/SQRT(1-P24^2)</f>
        <v>2.3601716352432707</v>
      </c>
      <c r="R24" s="8">
        <f>+_xlfn.T.DIST.2T(Q24,$R$30-2)</f>
        <v>2.5467580172466735E-2</v>
      </c>
    </row>
    <row r="25" spans="1:18" x14ac:dyDescent="0.25">
      <c r="A25">
        <v>24</v>
      </c>
      <c r="B25" t="s">
        <v>32</v>
      </c>
      <c r="D25">
        <v>0.25</v>
      </c>
      <c r="E25" s="2">
        <v>0.22928841412067399</v>
      </c>
      <c r="F25" s="2">
        <v>0.21595312654971999</v>
      </c>
      <c r="G25">
        <v>2</v>
      </c>
      <c r="H25">
        <v>4</v>
      </c>
      <c r="I25">
        <v>3</v>
      </c>
      <c r="J25">
        <v>8</v>
      </c>
      <c r="K25">
        <v>3</v>
      </c>
      <c r="L25" s="3">
        <f t="shared" si="0"/>
        <v>4</v>
      </c>
      <c r="N25" s="10"/>
      <c r="O25" s="5"/>
      <c r="P25" s="9"/>
      <c r="Q25" s="7"/>
      <c r="R25" s="8"/>
    </row>
    <row r="26" spans="1:18" x14ac:dyDescent="0.25">
      <c r="A26">
        <v>25</v>
      </c>
      <c r="B26" t="s">
        <v>23</v>
      </c>
      <c r="D26">
        <v>0.27</v>
      </c>
      <c r="E26" s="2">
        <v>0.25401023030281</v>
      </c>
      <c r="F26" s="2">
        <v>0.232548937201499</v>
      </c>
      <c r="G26">
        <v>3</v>
      </c>
      <c r="H26">
        <v>7</v>
      </c>
      <c r="I26">
        <v>5</v>
      </c>
      <c r="J26">
        <v>7</v>
      </c>
      <c r="K26">
        <v>3</v>
      </c>
      <c r="L26" s="3">
        <f t="shared" si="0"/>
        <v>5</v>
      </c>
      <c r="N26" s="11" t="s">
        <v>41</v>
      </c>
      <c r="O26" s="5" t="s">
        <v>29</v>
      </c>
      <c r="P26" s="4">
        <f>+PEARSON(D2:D31,L2:L31)</f>
        <v>0.74021447231081028</v>
      </c>
      <c r="Q26" s="7">
        <f>+(P26*(SQRT($R$30-2)))/SQRT(1-P26^2)</f>
        <v>5.825426443228265</v>
      </c>
      <c r="R26" s="8">
        <f>+_xlfn.T.DIST.2T(Q26,$R$30-2)</f>
        <v>2.9303034983370106E-6</v>
      </c>
    </row>
    <row r="27" spans="1:18" x14ac:dyDescent="0.25">
      <c r="A27">
        <v>26</v>
      </c>
      <c r="B27" t="s">
        <v>24</v>
      </c>
      <c r="D27">
        <v>0.27</v>
      </c>
      <c r="E27" s="2">
        <v>0.186432659626007</v>
      </c>
      <c r="F27" s="2">
        <v>0.18078786134719799</v>
      </c>
      <c r="G27">
        <v>2</v>
      </c>
      <c r="H27">
        <v>3</v>
      </c>
      <c r="I27">
        <v>2</v>
      </c>
      <c r="J27">
        <v>2</v>
      </c>
      <c r="K27">
        <v>3</v>
      </c>
      <c r="L27" s="3">
        <f t="shared" si="0"/>
        <v>2.4</v>
      </c>
      <c r="N27" s="11"/>
      <c r="O27" s="5" t="s">
        <v>37</v>
      </c>
      <c r="P27" s="4">
        <f>+PEARSON(E2:E31,L2:L31)</f>
        <v>0.4900539410552443</v>
      </c>
      <c r="Q27" s="7">
        <f>+(P27*(SQRT($R$30-2)))/SQRT(1-P27^2)</f>
        <v>2.9748137948652746</v>
      </c>
      <c r="R27" s="8">
        <f>+_xlfn.T.DIST.2T(Q27,$R$30-2)</f>
        <v>5.9779751414208568E-3</v>
      </c>
    </row>
    <row r="28" spans="1:18" x14ac:dyDescent="0.25">
      <c r="A28">
        <v>27</v>
      </c>
      <c r="B28" t="s">
        <v>25</v>
      </c>
      <c r="D28">
        <v>0.32</v>
      </c>
      <c r="E28" s="2">
        <v>0.245950773358345</v>
      </c>
      <c r="F28" s="2">
        <v>0.22615472972393</v>
      </c>
      <c r="G28">
        <v>3</v>
      </c>
      <c r="H28">
        <v>7</v>
      </c>
      <c r="I28">
        <v>2</v>
      </c>
      <c r="J28">
        <v>8</v>
      </c>
      <c r="K28">
        <v>3</v>
      </c>
      <c r="L28" s="3">
        <f t="shared" si="0"/>
        <v>4.5999999999999996</v>
      </c>
      <c r="N28" s="11"/>
      <c r="O28" s="5" t="s">
        <v>38</v>
      </c>
      <c r="P28" s="4">
        <f>+PEARSON(F2:F31,L2:L31)</f>
        <v>0.5581943339372526</v>
      </c>
      <c r="Q28" s="7">
        <f>+(P28*(SQRT($R$30-2)))/SQRT(1-P28^2)</f>
        <v>3.5599015565034637</v>
      </c>
      <c r="R28" s="8">
        <f>+_xlfn.T.DIST.2T(Q28,$R$30-2)</f>
        <v>1.3485800483885328E-3</v>
      </c>
    </row>
    <row r="29" spans="1:18" x14ac:dyDescent="0.25">
      <c r="A29">
        <v>28</v>
      </c>
      <c r="B29" t="s">
        <v>27</v>
      </c>
      <c r="D29">
        <v>0.36</v>
      </c>
      <c r="E29" s="2">
        <v>0.27090820670127802</v>
      </c>
      <c r="F29" s="2">
        <v>0.25302860140800398</v>
      </c>
      <c r="G29">
        <v>9</v>
      </c>
      <c r="H29">
        <v>7</v>
      </c>
      <c r="I29">
        <v>4</v>
      </c>
      <c r="J29">
        <v>4</v>
      </c>
      <c r="K29">
        <v>7</v>
      </c>
      <c r="L29" s="3">
        <f t="shared" si="0"/>
        <v>6.2</v>
      </c>
      <c r="N29" s="5"/>
      <c r="O29" s="5"/>
      <c r="P29" s="9"/>
      <c r="Q29" s="9"/>
      <c r="R29" s="9"/>
    </row>
    <row r="30" spans="1:18" x14ac:dyDescent="0.25">
      <c r="A30">
        <v>29</v>
      </c>
      <c r="B30" t="s">
        <v>34</v>
      </c>
      <c r="D30">
        <v>0.25</v>
      </c>
      <c r="E30" s="2">
        <v>0.213323384523391</v>
      </c>
      <c r="F30" s="2">
        <v>0.210816010832786</v>
      </c>
      <c r="G30">
        <v>3</v>
      </c>
      <c r="H30">
        <v>9</v>
      </c>
      <c r="I30">
        <v>2</v>
      </c>
      <c r="J30">
        <v>4</v>
      </c>
      <c r="K30">
        <v>5</v>
      </c>
      <c r="L30" s="3">
        <f t="shared" si="0"/>
        <v>4.5999999999999996</v>
      </c>
      <c r="N30" s="6" t="s">
        <v>44</v>
      </c>
      <c r="O30" s="5"/>
      <c r="P30" s="9"/>
      <c r="Q30" s="9"/>
      <c r="R30" s="9">
        <f>+COUNT(D2:D31)</f>
        <v>30</v>
      </c>
    </row>
    <row r="31" spans="1:18" x14ac:dyDescent="0.25">
      <c r="A31">
        <v>30</v>
      </c>
      <c r="B31" t="s">
        <v>28</v>
      </c>
      <c r="D31">
        <v>0.33</v>
      </c>
      <c r="E31" s="2">
        <v>0.26460510492324801</v>
      </c>
      <c r="F31" s="2">
        <v>0.234998568892478</v>
      </c>
      <c r="G31">
        <v>5</v>
      </c>
      <c r="H31">
        <v>10</v>
      </c>
      <c r="I31">
        <v>5</v>
      </c>
      <c r="J31">
        <v>2</v>
      </c>
      <c r="K31">
        <v>9</v>
      </c>
      <c r="L31" s="3">
        <f t="shared" si="0"/>
        <v>6.2</v>
      </c>
    </row>
    <row r="49" spans="5:36" ht="15.75" thickBot="1" x14ac:dyDescent="0.3"/>
    <row r="50" spans="5:36" ht="15.75" thickBot="1" x14ac:dyDescent="0.3">
      <c r="G50" s="12">
        <v>3</v>
      </c>
      <c r="H50" s="13">
        <v>8</v>
      </c>
      <c r="I50" s="13">
        <v>5</v>
      </c>
      <c r="J50" s="13">
        <v>2</v>
      </c>
      <c r="K50" s="13">
        <v>2</v>
      </c>
      <c r="L50" s="13">
        <v>8</v>
      </c>
      <c r="M50" s="13">
        <v>4</v>
      </c>
      <c r="N50" s="13">
        <v>4</v>
      </c>
      <c r="O50" s="13">
        <v>2</v>
      </c>
      <c r="P50" s="13">
        <v>4</v>
      </c>
      <c r="Q50" s="13">
        <v>4</v>
      </c>
      <c r="R50" s="13">
        <v>3</v>
      </c>
      <c r="S50" s="13">
        <v>3</v>
      </c>
      <c r="T50" s="13">
        <v>4</v>
      </c>
      <c r="U50" s="13">
        <v>3</v>
      </c>
      <c r="V50" s="13">
        <v>3</v>
      </c>
      <c r="W50" s="13">
        <v>3</v>
      </c>
      <c r="X50" s="13">
        <v>3</v>
      </c>
      <c r="Y50" s="13">
        <v>8</v>
      </c>
      <c r="Z50" s="13">
        <v>5</v>
      </c>
      <c r="AA50" s="13">
        <v>5</v>
      </c>
      <c r="AB50" s="13">
        <v>7</v>
      </c>
      <c r="AC50" s="13">
        <v>2</v>
      </c>
      <c r="AD50" s="13">
        <v>3</v>
      </c>
      <c r="AE50" s="13">
        <v>3</v>
      </c>
      <c r="AF50" s="13">
        <v>3</v>
      </c>
      <c r="AG50" s="13">
        <v>3</v>
      </c>
      <c r="AH50" s="13">
        <v>7</v>
      </c>
      <c r="AI50" s="13">
        <v>5</v>
      </c>
      <c r="AJ50" s="13">
        <v>2</v>
      </c>
    </row>
    <row r="53" spans="5:36" x14ac:dyDescent="0.25">
      <c r="E53" s="1"/>
    </row>
  </sheetData>
  <mergeCells count="6">
    <mergeCell ref="N22:N24"/>
    <mergeCell ref="N6:N8"/>
    <mergeCell ref="N3:N4"/>
    <mergeCell ref="N10:N12"/>
    <mergeCell ref="N14:N16"/>
    <mergeCell ref="N18:N2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Template</dc:creator>
  <cp:lastModifiedBy>Template</cp:lastModifiedBy>
  <dcterms:created xsi:type="dcterms:W3CDTF">2025-08-18T15:38:15Z</dcterms:created>
  <dcterms:modified xsi:type="dcterms:W3CDTF">2025-08-27T19:20:58Z</dcterms:modified>
</cp:coreProperties>
</file>